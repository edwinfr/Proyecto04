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8_{2875D707-92A9-441A-ABEE-2287C6D244B7}" xr6:coauthVersionLast="47" xr6:coauthVersionMax="47" xr10:uidLastSave="{00000000-0000-0000-0000-000000000000}"/>
  <bookViews>
    <workbookView xWindow="-110" yWindow="-110" windowWidth="19420" windowHeight="10300" xr2:uid="{B7259BD5-003D-4B87-90AB-FC9BCFB6F3A1}"/>
  </bookViews>
  <sheets>
    <sheet name="- AYUDA -" sheetId="4" r:id="rId1"/>
    <sheet name="Facturas por venta" sheetId="2" r:id="rId2"/>
    <sheet name="Escala de monotribut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C15" i="1"/>
  <c r="C16" i="1"/>
  <c r="C17" i="1"/>
  <c r="C18" i="1"/>
  <c r="C19" i="1"/>
  <c r="C20" i="1"/>
  <c r="C21" i="1"/>
  <c r="C22" i="1"/>
  <c r="C23" i="1"/>
  <c r="C14" i="1"/>
  <c r="E7" i="1" l="1"/>
  <c r="F7" i="1" s="1"/>
  <c r="G7" i="1"/>
  <c r="F6" i="1" l="1"/>
</calcChain>
</file>

<file path=xl/sharedStrings.xml><?xml version="1.0" encoding="utf-8"?>
<sst xmlns="http://schemas.openxmlformats.org/spreadsheetml/2006/main" count="60" uniqueCount="60">
  <si>
    <t>MIN</t>
  </si>
  <si>
    <t>MAX</t>
  </si>
  <si>
    <t>CATEGORÍA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</si>
  <si>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</si>
  <si>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</si>
  <si>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</si>
  <si>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</si>
  <si>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</si>
  <si>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</si>
  <si>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</si>
  <si>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</si>
  <si>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</si>
  <si>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</si>
  <si>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</si>
  <si>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ESCALAS DEL MONOTRIBUTO a partir del 1/8/2024</t>
  </si>
  <si>
    <t>Fecha</t>
  </si>
  <si>
    <t>Factura</t>
  </si>
  <si>
    <t>Monto</t>
  </si>
  <si>
    <t>FECHA FINAL</t>
  </si>
  <si>
    <t>RESTANTE MAXIMO DE MONOTRIBUTO</t>
  </si>
  <si>
    <t>FACTURACIÓN INTERANUAL</t>
  </si>
  <si>
    <t>CATEGORÍA CORRESPONDIENTE</t>
  </si>
  <si>
    <t>F-0001</t>
  </si>
  <si>
    <t>F-0002</t>
  </si>
  <si>
    <t>F-0003</t>
  </si>
  <si>
    <t>F-0004</t>
  </si>
  <si>
    <t>F-0005</t>
  </si>
  <si>
    <t>F-0006</t>
  </si>
  <si>
    <t>F-0007</t>
  </si>
  <si>
    <t>F-0008</t>
  </si>
  <si>
    <t>F-0009</t>
  </si>
  <si>
    <t>F-0010</t>
  </si>
  <si>
    <t>F-0011</t>
  </si>
  <si>
    <t>F-0012</t>
  </si>
  <si>
    <t>F-0013</t>
  </si>
  <si>
    <t>F-0014</t>
  </si>
  <si>
    <t>F-0015</t>
  </si>
  <si>
    <t>F-0016</t>
  </si>
  <si>
    <t>F-0017</t>
  </si>
  <si>
    <t>F-0018</t>
  </si>
  <si>
    <t>F-0019</t>
  </si>
  <si>
    <t>F-0020</t>
  </si>
  <si>
    <t>F-0021</t>
  </si>
  <si>
    <t>F-0022</t>
  </si>
  <si>
    <t>F-0023</t>
  </si>
  <si>
    <t>F-0024</t>
  </si>
  <si>
    <t>F-0025</t>
  </si>
  <si>
    <t>F-0026</t>
  </si>
  <si>
    <t>Escriba aquí la fecha de inicio</t>
  </si>
  <si>
    <t>Escriba en esta columna el monto de la categoría</t>
  </si>
  <si>
    <t>F-0027</t>
  </si>
  <si>
    <t>F-0028</t>
  </si>
  <si>
    <t>F-0029</t>
  </si>
  <si>
    <t>F-0030</t>
  </si>
  <si>
    <t>F-0031</t>
  </si>
  <si>
    <t>F-0032</t>
  </si>
  <si>
    <t>F-0033</t>
  </si>
  <si>
    <t>Ayuda</t>
  </si>
  <si>
    <t>FECHA INICIAL</t>
  </si>
  <si>
    <t>Ingrese sus facturas por ventas en esta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</si>
</sst>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"/>
  </numFmts>
  <fonts count="15" x14ac:knownFonts="1">
    <font>
      <sz val="14"/>
      <color theme="1"/>
      <name val="Calibri"/>
      <family val="2"/>
    </font>
    <font>
      <sz val="11"/>
      <color theme="1"/>
      <name val="Calibri"/>
      <family val="2"/>
    </font>
    <font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rgb="FF333333"/>
      <name val="Calibri"/>
      <family val="2"/>
    </font>
    <font>
      <sz val="9"/>
      <color theme="0" tint="-0.499984740745262"/>
      <name val="Calibri"/>
      <family val="2"/>
    </font>
    <font>
      <sz val="8"/>
      <name val="Calibri"/>
      <family val="2"/>
    </font>
    <font>
      <sz val="12"/>
      <color theme="1"/>
      <name val="Aptos Narrow"/>
      <family val="2"/>
      <scheme val="minor"/>
    </font>
    <font>
      <b/>
      <sz val="22"/>
      <color theme="1" tint="0.24997711111789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color rgb="FF0D0D0D"/>
      <name val="Segoe UI"/>
      <family val="2"/>
    </font>
    <font>
      <sz val="8"/>
      <color rgb="FF646464"/>
      <name val="Open Sans"/>
      <family val="2"/>
    </font>
    <font>
      <b/>
      <sz val="22"/>
      <color theme="1" tint="0.249977111117893"/>
      <name val="Calibri"/>
      <family val="2"/>
    </font>
    <font>
      <sz val="14"/>
      <color theme="0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5F2"/>
        <bgColor indexed="64"/>
      </patternFill>
    </fill>
    <fill>
      <patternFill patternType="solid">
        <fgColor rgb="FF6B9C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CCCCCC"/>
      </left>
      <right style="medium">
        <color rgb="FFDDDDDD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/>
      <bottom style="medium">
        <color rgb="FFDDDDDD"/>
      </bottom>
      <diagonal/>
    </border>
  </borders>
  <cellStyleXfs count="3">
    <xf numFmtId="0" fontId="0" fillId="0" borderId="0"/>
    <xf numFmtId="0" fontId="7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wrapText="1"/>
    </xf>
    <xf numFmtId="165" fontId="1" fillId="0" borderId="1" xfId="0" applyNumberFormat="1" applyFont="1" applyBorder="1" applyAlignment="1">
      <alignment horizontal="right" wrapText="1"/>
    </xf>
    <xf numFmtId="165" fontId="1" fillId="3" borderId="1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165" fontId="1" fillId="3" borderId="5" xfId="0" applyNumberFormat="1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0" xfId="0" applyFill="1"/>
    <xf numFmtId="164" fontId="0" fillId="3" borderId="3" xfId="0" applyNumberFormat="1" applyFill="1" applyBorder="1" applyAlignment="1">
      <alignment horizontal="center" vertical="center"/>
    </xf>
    <xf numFmtId="165" fontId="0" fillId="0" borderId="0" xfId="0" applyNumberFormat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7" fillId="0" borderId="0" xfId="1"/>
    <xf numFmtId="0" fontId="8" fillId="0" borderId="0" xfId="1" applyFont="1" applyAlignment="1">
      <alignment vertical="top"/>
    </xf>
    <xf numFmtId="0" fontId="13" fillId="0" borderId="0" xfId="1" applyFont="1" applyAlignment="1">
      <alignment vertical="center"/>
    </xf>
    <xf numFmtId="0" fontId="2" fillId="0" borderId="0" xfId="1" applyFont="1"/>
    <xf numFmtId="0" fontId="9" fillId="0" borderId="0" xfId="2" applyFill="1"/>
    <xf numFmtId="0" fontId="10" fillId="0" borderId="0" xfId="1" applyFont="1"/>
    <xf numFmtId="0" fontId="11" fillId="0" borderId="0" xfId="1" applyFont="1" applyAlignment="1">
      <alignment horizontal="left" vertical="center" indent="1"/>
    </xf>
    <xf numFmtId="0" fontId="11" fillId="0" borderId="0" xfId="1" applyFont="1"/>
    <xf numFmtId="0" fontId="12" fillId="0" borderId="0" xfId="1" applyFont="1"/>
    <xf numFmtId="0" fontId="5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0" borderId="0" xfId="0" applyFont="1"/>
  </cellXfs>
  <cellStyles count="3">
    <cellStyle name="Hipervínculo 2" xfId="2" xr:uid="{3A35A3A7-CF61-4C53-A12D-B3C103705A9E}"/>
    <cellStyle name="Normal" xfId="0" builtinId="0"/>
    <cellStyle name="Normal 2" xfId="1" xr:uid="{5A79A4FA-4E4F-44F3-8804-C4D98DEEB4E7}"/>
  </cellStyles>
  <dxfs count="3">
    <dxf>
      <alignment horizontal="center" textRotation="0" indent="0" justifyLastLine="0" shrinkToFit="0" readingOrder="0"/>
    </dxf>
    <dxf>
      <numFmt numFmtId="165" formatCode="&quot;$&quot;\ #,##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B9CFF"/>
      <color rgb="FFDDE5F2"/>
      <color rgb="FF44D2F2"/>
      <color rgb="FF5298F2"/>
      <color rgb="FFFF575A"/>
      <color rgb="FFFFBC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blo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152399</xdr:rowOff>
    </xdr:from>
    <xdr:to>
      <xdr:col>7</xdr:col>
      <xdr:colOff>444500</xdr:colOff>
      <xdr:row>41</xdr:row>
      <xdr:rowOff>169333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272206A-2881-413D-AADA-433AB91C8710}"/>
            </a:ext>
          </a:extLst>
        </xdr:cNvPr>
        <xdr:cNvSpPr txBox="1"/>
      </xdr:nvSpPr>
      <xdr:spPr>
        <a:xfrm>
          <a:off x="254000" y="1817510"/>
          <a:ext cx="8092722" cy="75734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 plantilla de calculadora de categoría de monotributo le permitirá registrar sus facturas por venta y determinar a qué categoría de monotributo pertenece.</a:t>
          </a:r>
        </a:p>
        <a:p>
          <a:pPr marL="0" indent="0"/>
          <a:endParaRPr lang="es-ES" sz="1600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Para usarla, sigue estos pasos:</a:t>
          </a:r>
        </a:p>
        <a:p>
          <a:pPr marL="0" indent="0"/>
          <a:endParaRPr lang="en-US" sz="1600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 la hoja "Facturas por venta" complete la fecha, el número y el monto de la factura</a:t>
          </a:r>
        </a:p>
        <a:p>
          <a:pPr marL="0" indent="0"/>
          <a:endParaRPr lang="en-US" sz="1600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En la hoja "Escala de monotributo" </a:t>
          </a:r>
        </a:p>
        <a:p>
          <a:pPr marL="0" indent="0"/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	-Actualice las escalas de b13 a b23 de ser necesario</a:t>
          </a:r>
        </a:p>
        <a:p>
          <a:pPr marL="0" indent="0"/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	-En la celda A7 </a:t>
          </a:r>
          <a:r>
            <a:rPr lang="es-AR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ingrese la fecha final desde la cual desea visualizar los datos de un año anterior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 Por ejemplo, si escribe 1/10/2024, se veran las ventas del 1/10/2023 al 1/10/24.</a:t>
          </a:r>
        </a:p>
        <a:p>
          <a:pPr marL="0" indent="0"/>
          <a:endParaRPr lang="en-US" sz="1600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Resultados</a:t>
          </a:r>
        </a:p>
        <a:p>
          <a:pPr marL="0" indent="0"/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La celda D7 le arrojará el monto interanual facturado (es decir, la facturacion de un año atrás según la fecha final elegida). </a:t>
          </a:r>
        </a:p>
        <a:p>
          <a:pPr marL="0" indent="0"/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La celda E7 le indicará la categoría que debería tener</a:t>
          </a:r>
        </a:p>
        <a:p>
          <a:pPr marL="0" indent="0"/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La celda F7 le dirá qué monto de facturación restante le queda para permanecer en esa categoría</a:t>
          </a:r>
        </a:p>
        <a:p>
          <a:pPr marL="0" indent="0"/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La celda G7 le indicará qué monto de facturación restante le queda para permanece en el monotributo</a:t>
          </a:r>
        </a:p>
        <a:p>
          <a:endParaRPr lang="en-US" sz="1600" baseline="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Aclaración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Para agregar más filas, puede escribir directamente debajo de la ultima fila con contenido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0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 calculadora es una herramienta de simulación. PlanillaExcel no se responsabiliza por el uso que se le de a la información.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Los resultados obtenidos de este simulador están diseñados con propósitos comparativos. Su precisión no está garantizada.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0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600" b="1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US" sz="1600" baseline="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635000</xdr:colOff>
      <xdr:row>4</xdr:row>
      <xdr:rowOff>152400</xdr:rowOff>
    </xdr:from>
    <xdr:to>
      <xdr:col>10</xdr:col>
      <xdr:colOff>1231900</xdr:colOff>
      <xdr:row>25</xdr:row>
      <xdr:rowOff>165100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6FE38F61-B02F-4759-8E0E-964827B44576}"/>
            </a:ext>
          </a:extLst>
        </xdr:cNvPr>
        <xdr:cNvSpPr txBox="1"/>
      </xdr:nvSpPr>
      <xdr:spPr>
        <a:xfrm>
          <a:off x="8534400" y="1816100"/>
          <a:ext cx="4406900" cy="414020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 adaptarla, extenderla o corregir algún error, sigue este link: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>
    <xdr:from>
      <xdr:col>7</xdr:col>
      <xdr:colOff>635000</xdr:colOff>
      <xdr:row>12</xdr:row>
      <xdr:rowOff>50800</xdr:rowOff>
    </xdr:from>
    <xdr:to>
      <xdr:col>10</xdr:col>
      <xdr:colOff>1206500</xdr:colOff>
      <xdr:row>13</xdr:row>
      <xdr:rowOff>165100</xdr:rowOff>
    </xdr:to>
    <xdr:sp macro="" textlink="">
      <xdr:nvSpPr>
        <xdr:cNvPr id="4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E2B7E-7CAB-4091-B95E-564FBC29DF4C}"/>
            </a:ext>
          </a:extLst>
        </xdr:cNvPr>
        <xdr:cNvSpPr txBox="1"/>
      </xdr:nvSpPr>
      <xdr:spPr>
        <a:xfrm>
          <a:off x="8534400" y="3282950"/>
          <a:ext cx="43815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ayuda →</a:t>
          </a:r>
        </a:p>
      </xdr:txBody>
    </xdr:sp>
    <xdr:clientData/>
  </xdr:twoCellAnchor>
  <xdr:twoCellAnchor>
    <xdr:from>
      <xdr:col>7</xdr:col>
      <xdr:colOff>660400</xdr:colOff>
      <xdr:row>22</xdr:row>
      <xdr:rowOff>165100</xdr:rowOff>
    </xdr:from>
    <xdr:to>
      <xdr:col>10</xdr:col>
      <xdr:colOff>1231900</xdr:colOff>
      <xdr:row>24</xdr:row>
      <xdr:rowOff>76200</xdr:rowOff>
    </xdr:to>
    <xdr:sp macro="" textlink="">
      <xdr:nvSpPr>
        <xdr:cNvPr id="5" name="TextBox 9">
          <a:extLst>
            <a:ext uri="{FF2B5EF4-FFF2-40B4-BE49-F238E27FC236}">
              <a16:creationId xmlns:a16="http://schemas.microsoft.com/office/drawing/2014/main" id="{79EBA5D4-F3E5-4299-B196-DB51BB4EF911}"/>
            </a:ext>
          </a:extLst>
        </xdr:cNvPr>
        <xdr:cNvSpPr txBox="1"/>
      </xdr:nvSpPr>
      <xdr:spPr>
        <a:xfrm>
          <a:off x="8559800" y="5365750"/>
          <a:ext cx="4381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plantillas →</a:t>
          </a:r>
        </a:p>
      </xdr:txBody>
    </xdr:sp>
    <xdr:clientData/>
  </xdr:twoCellAnchor>
  <xdr:twoCellAnchor editAs="absolute">
    <xdr:from>
      <xdr:col>8</xdr:col>
      <xdr:colOff>474133</xdr:colOff>
      <xdr:row>1</xdr:row>
      <xdr:rowOff>19050</xdr:rowOff>
    </xdr:from>
    <xdr:to>
      <xdr:col>9</xdr:col>
      <xdr:colOff>1229783</xdr:colOff>
      <xdr:row>2</xdr:row>
      <xdr:rowOff>69850</xdr:rowOff>
    </xdr:to>
    <xdr:sp macro="" textlink="">
      <xdr:nvSpPr>
        <xdr:cNvPr id="9" name="TextBox 13">
          <a:extLst>
            <a:ext uri="{FF2B5EF4-FFF2-40B4-BE49-F238E27FC236}">
              <a16:creationId xmlns:a16="http://schemas.microsoft.com/office/drawing/2014/main" id="{B5DA2D62-A726-4A18-A99F-D764724F9E06}"/>
            </a:ext>
          </a:extLst>
        </xdr:cNvPr>
        <xdr:cNvSpPr txBox="1"/>
      </xdr:nvSpPr>
      <xdr:spPr>
        <a:xfrm>
          <a:off x="9643533" y="146050"/>
          <a:ext cx="202565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6B9C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0</xdr:colOff>
      <xdr:row>1</xdr:row>
      <xdr:rowOff>134057</xdr:rowOff>
    </xdr:from>
    <xdr:to>
      <xdr:col>4</xdr:col>
      <xdr:colOff>876300</xdr:colOff>
      <xdr:row>1</xdr:row>
      <xdr:rowOff>629357</xdr:rowOff>
    </xdr:to>
    <xdr:sp macro="" textlink="">
      <xdr:nvSpPr>
        <xdr:cNvPr id="10" name="TextBox 12">
          <a:extLst>
            <a:ext uri="{FF2B5EF4-FFF2-40B4-BE49-F238E27FC236}">
              <a16:creationId xmlns:a16="http://schemas.microsoft.com/office/drawing/2014/main" id="{8B6A6E74-E257-43FB-B94C-7A36D9EB0F53}"/>
            </a:ext>
          </a:extLst>
        </xdr:cNvPr>
        <xdr:cNvSpPr txBox="1"/>
      </xdr:nvSpPr>
      <xdr:spPr>
        <a:xfrm>
          <a:off x="279400" y="261057"/>
          <a:ext cx="46863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>
              <a:solidFill>
                <a:srgbClr val="6B9C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Calculadora de categoría de monotributo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38805</xdr:colOff>
      <xdr:row>1</xdr:row>
      <xdr:rowOff>135466</xdr:rowOff>
    </xdr:from>
    <xdr:to>
      <xdr:col>3</xdr:col>
      <xdr:colOff>1956505</xdr:colOff>
      <xdr:row>1</xdr:row>
      <xdr:rowOff>630766</xdr:rowOff>
    </xdr:to>
    <xdr:sp macro="" textlink="">
      <xdr:nvSpPr>
        <xdr:cNvPr id="2" name="TextBox 12">
          <a:extLst>
            <a:ext uri="{FF2B5EF4-FFF2-40B4-BE49-F238E27FC236}">
              <a16:creationId xmlns:a16="http://schemas.microsoft.com/office/drawing/2014/main" id="{D86A8235-AE40-4A9E-87A2-A286F93C26D7}"/>
            </a:ext>
          </a:extLst>
        </xdr:cNvPr>
        <xdr:cNvSpPr txBox="1"/>
      </xdr:nvSpPr>
      <xdr:spPr>
        <a:xfrm>
          <a:off x="271638" y="248355"/>
          <a:ext cx="4683478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>
              <a:solidFill>
                <a:srgbClr val="6B9C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Calculadora de categoría de monotributo</a:t>
          </a:r>
        </a:p>
      </xdr:txBody>
    </xdr:sp>
    <xdr:clientData/>
  </xdr:twoCellAnchor>
  <xdr:twoCellAnchor editAs="absolute">
    <xdr:from>
      <xdr:col>4</xdr:col>
      <xdr:colOff>882650</xdr:colOff>
      <xdr:row>1</xdr:row>
      <xdr:rowOff>44450</xdr:rowOff>
    </xdr:from>
    <xdr:to>
      <xdr:col>7</xdr:col>
      <xdr:colOff>12700</xdr:colOff>
      <xdr:row>2</xdr:row>
      <xdr:rowOff>38100</xdr:rowOff>
    </xdr:to>
    <xdr:sp macro="" textlink="">
      <xdr:nvSpPr>
        <xdr:cNvPr id="3" name="TextBox 13">
          <a:extLst>
            <a:ext uri="{FF2B5EF4-FFF2-40B4-BE49-F238E27FC236}">
              <a16:creationId xmlns:a16="http://schemas.microsoft.com/office/drawing/2014/main" id="{539696C3-6142-42FD-A403-0C7A299B6712}"/>
            </a:ext>
          </a:extLst>
        </xdr:cNvPr>
        <xdr:cNvSpPr txBox="1"/>
      </xdr:nvSpPr>
      <xdr:spPr>
        <a:xfrm>
          <a:off x="6388100" y="158750"/>
          <a:ext cx="202565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200" b="1">
              <a:solidFill>
                <a:srgbClr val="6B9C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838200</xdr:colOff>
      <xdr:row>0</xdr:row>
      <xdr:rowOff>197554</xdr:rowOff>
    </xdr:from>
    <xdr:to>
      <xdr:col>6</xdr:col>
      <xdr:colOff>1417461</xdr:colOff>
      <xdr:row>1</xdr:row>
      <xdr:rowOff>714021</xdr:rowOff>
    </xdr:to>
    <xdr:sp macro="" textlink="">
      <xdr:nvSpPr>
        <xdr:cNvPr id="3" name="TextBox 13">
          <a:extLst>
            <a:ext uri="{FF2B5EF4-FFF2-40B4-BE49-F238E27FC236}">
              <a16:creationId xmlns:a16="http://schemas.microsoft.com/office/drawing/2014/main" id="{406A2160-A6DA-4452-B623-5EDE1327B68E}"/>
            </a:ext>
          </a:extLst>
        </xdr:cNvPr>
        <xdr:cNvSpPr txBox="1"/>
      </xdr:nvSpPr>
      <xdr:spPr>
        <a:xfrm>
          <a:off x="6927144" y="197554"/>
          <a:ext cx="202565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6B9CFF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42333</xdr:colOff>
      <xdr:row>1</xdr:row>
      <xdr:rowOff>98778</xdr:rowOff>
    </xdr:from>
    <xdr:to>
      <xdr:col>4</xdr:col>
      <xdr:colOff>311855</xdr:colOff>
      <xdr:row>1</xdr:row>
      <xdr:rowOff>594078</xdr:rowOff>
    </xdr:to>
    <xdr:sp macro="" textlink="">
      <xdr:nvSpPr>
        <xdr:cNvPr id="4" name="TextBox 12">
          <a:extLst>
            <a:ext uri="{FF2B5EF4-FFF2-40B4-BE49-F238E27FC236}">
              <a16:creationId xmlns:a16="http://schemas.microsoft.com/office/drawing/2014/main" id="{21B8BE29-4C5E-4974-B575-7646C55F8DE5}"/>
            </a:ext>
          </a:extLst>
        </xdr:cNvPr>
        <xdr:cNvSpPr txBox="1"/>
      </xdr:nvSpPr>
      <xdr:spPr>
        <a:xfrm>
          <a:off x="268111" y="331611"/>
          <a:ext cx="46863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>
              <a:solidFill>
                <a:srgbClr val="6B9C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Calculadora de categoría de monotributo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B66AB4-BDCB-4C7C-B433-A1F2B67D6766}" name="Tabla_Ventas" displayName="Tabla_Ventas" ref="C5:E38" totalsRowShown="0" headerRowDxfId="2">
  <autoFilter ref="C5:E38" xr:uid="{B6B66AB4-BDCB-4C7C-B433-A1F2B67D6766}">
    <filterColumn colId="0" hiddenButton="1"/>
    <filterColumn colId="1" hiddenButton="1"/>
    <filterColumn colId="2" hiddenButton="1"/>
  </autoFilter>
  <tableColumns count="3">
    <tableColumn id="1" xr3:uid="{B03880F5-7C77-4B06-9398-B89123797DD1}" name="Fecha"/>
    <tableColumn id="2" xr3:uid="{3912BD16-09D5-425D-8518-35E48CA6CEA6}" name="Factura" dataDxfId="0"/>
    <tableColumn id="4" xr3:uid="{3C4236C1-5E87-4B24-92A2-84D6470D0B23}" name="Mont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87F6-761F-45A7-89E7-8B13745D6C90}">
  <dimension ref="B1:K107"/>
  <sheetViews>
    <sheetView showGridLines="0" tabSelected="1" zoomScale="90" zoomScaleNormal="90" workbookViewId="0">
      <selection activeCell="D4" sqref="D4"/>
    </sheetView>
  </sheetViews>
  <sheetFormatPr baseColWidth="10" defaultRowHeight="16" x14ac:dyDescent="0.4"/>
  <cols>
    <col min="1" max="1" width="3.140625" style="19" customWidth="1"/>
    <col min="2" max="11" width="14.28515625" style="19" customWidth="1"/>
    <col min="12" max="16384" width="10.85546875" style="19"/>
  </cols>
  <sheetData>
    <row r="1" spans="2:11" ht="10" customHeight="1" x14ac:dyDescent="0.4"/>
    <row r="2" spans="2:11" ht="55" customHeight="1" x14ac:dyDescent="0.45"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2:11" ht="24" customHeight="1" x14ac:dyDescent="0.4"/>
    <row r="4" spans="2:11" ht="42" customHeight="1" x14ac:dyDescent="0.4">
      <c r="B4" s="21" t="s">
        <v>57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ht="15" customHeight="1" x14ac:dyDescent="0.4"/>
    <row r="32" spans="5:7" x14ac:dyDescent="0.4">
      <c r="E32" s="22"/>
      <c r="F32" s="22"/>
      <c r="G32" s="22"/>
    </row>
    <row r="36" spans="2:6" x14ac:dyDescent="0.4">
      <c r="F36" s="22"/>
    </row>
    <row r="39" spans="2:6" x14ac:dyDescent="0.4">
      <c r="B39" s="23"/>
    </row>
    <row r="40" spans="2:6" x14ac:dyDescent="0.4">
      <c r="B40" s="23"/>
      <c r="E40" s="22"/>
    </row>
    <row r="41" spans="2:6" x14ac:dyDescent="0.4">
      <c r="B41" s="23"/>
      <c r="E41" s="22"/>
      <c r="F41" s="22"/>
    </row>
    <row r="42" spans="2:6" x14ac:dyDescent="0.4">
      <c r="B42" s="23"/>
    </row>
    <row r="43" spans="2:6" x14ac:dyDescent="0.4">
      <c r="B43" s="23"/>
    </row>
    <row r="47" spans="2:6" x14ac:dyDescent="0.4">
      <c r="B47" s="24"/>
      <c r="C47" s="24"/>
    </row>
    <row r="48" spans="2:6" x14ac:dyDescent="0.4">
      <c r="B48" s="24"/>
      <c r="C48" s="24"/>
    </row>
    <row r="49" spans="2:6" x14ac:dyDescent="0.4">
      <c r="B49" s="24"/>
      <c r="C49" s="24"/>
    </row>
    <row r="50" spans="2:6" x14ac:dyDescent="0.4">
      <c r="B50" s="24"/>
      <c r="C50" s="24"/>
    </row>
    <row r="51" spans="2:6" x14ac:dyDescent="0.4">
      <c r="B51" s="24"/>
      <c r="C51" s="24"/>
    </row>
    <row r="58" spans="2:6" x14ac:dyDescent="0.4">
      <c r="C58" s="22"/>
    </row>
    <row r="59" spans="2:6" x14ac:dyDescent="0.4">
      <c r="C59" s="22"/>
    </row>
    <row r="60" spans="2:6" x14ac:dyDescent="0.4">
      <c r="C60" s="22"/>
    </row>
    <row r="63" spans="2:6" x14ac:dyDescent="0.4">
      <c r="C63" s="25"/>
      <c r="E63" s="24"/>
      <c r="F63" s="24"/>
    </row>
    <row r="64" spans="2:6" x14ac:dyDescent="0.4">
      <c r="C64" s="25"/>
      <c r="E64" s="24"/>
      <c r="F64" s="24"/>
    </row>
    <row r="65" spans="3:6" x14ac:dyDescent="0.4">
      <c r="C65" s="25"/>
      <c r="E65" s="24"/>
      <c r="F65" s="24"/>
    </row>
    <row r="66" spans="3:6" x14ac:dyDescent="0.4">
      <c r="C66" s="26"/>
      <c r="E66" s="24"/>
      <c r="F66" s="24"/>
    </row>
    <row r="67" spans="3:6" x14ac:dyDescent="0.4">
      <c r="E67" s="24"/>
      <c r="F67" s="24"/>
    </row>
    <row r="68" spans="3:6" x14ac:dyDescent="0.4">
      <c r="C68" s="26"/>
    </row>
    <row r="107" spans="5:5" x14ac:dyDescent="0.4">
      <c r="E107" s="2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3337-6FD5-47D6-B090-8B120BEFD77E}">
  <dimension ref="B1:G38"/>
  <sheetViews>
    <sheetView showGridLines="0" zoomScale="90" zoomScaleNormal="90" workbookViewId="0">
      <selection activeCell="B4" sqref="B4"/>
    </sheetView>
  </sheetViews>
  <sheetFormatPr baseColWidth="10" defaultRowHeight="18.5" x14ac:dyDescent="0.45"/>
  <cols>
    <col min="1" max="1" width="2.640625" customWidth="1"/>
    <col min="2" max="2" width="17.640625" customWidth="1"/>
    <col min="3" max="3" width="13.5" customWidth="1"/>
    <col min="4" max="4" width="28.140625" style="30" customWidth="1"/>
  </cols>
  <sheetData>
    <row r="1" spans="2:7" ht="9" customHeight="1" x14ac:dyDescent="0.45"/>
    <row r="2" spans="2:7" ht="59.5" customHeight="1" x14ac:dyDescent="0.45">
      <c r="B2" s="12"/>
      <c r="C2" s="12"/>
      <c r="D2" s="31"/>
      <c r="E2" s="12"/>
      <c r="F2" s="12"/>
      <c r="G2" s="12"/>
    </row>
    <row r="4" spans="2:7" x14ac:dyDescent="0.45">
      <c r="B4" s="33" t="s">
        <v>59</v>
      </c>
    </row>
    <row r="5" spans="2:7" x14ac:dyDescent="0.45">
      <c r="C5" s="16" t="s">
        <v>15</v>
      </c>
      <c r="D5" s="16" t="s">
        <v>16</v>
      </c>
      <c r="E5" s="16" t="s">
        <v>17</v>
      </c>
    </row>
    <row r="6" spans="2:7" x14ac:dyDescent="0.45">
      <c r="C6" s="2">
        <v>45200</v>
      </c>
      <c r="D6" s="32" t="s">
        <v>22</v>
      </c>
      <c r="E6" s="14">
        <v>718450</v>
      </c>
    </row>
    <row r="7" spans="2:7" x14ac:dyDescent="0.45">
      <c r="C7" s="2">
        <v>45214</v>
      </c>
      <c r="D7" s="32" t="s">
        <v>23</v>
      </c>
      <c r="E7" s="14">
        <v>839100</v>
      </c>
    </row>
    <row r="8" spans="2:7" x14ac:dyDescent="0.45">
      <c r="C8" s="2">
        <v>45231</v>
      </c>
      <c r="D8" s="32" t="s">
        <v>24</v>
      </c>
      <c r="E8" s="14">
        <v>425630</v>
      </c>
    </row>
    <row r="9" spans="2:7" x14ac:dyDescent="0.45">
      <c r="C9" s="2">
        <v>45245</v>
      </c>
      <c r="D9" s="32" t="s">
        <v>25</v>
      </c>
      <c r="E9" s="14">
        <v>177030</v>
      </c>
    </row>
    <row r="10" spans="2:7" x14ac:dyDescent="0.45">
      <c r="C10" s="2">
        <v>45261</v>
      </c>
      <c r="D10" s="32" t="s">
        <v>26</v>
      </c>
      <c r="E10" s="14">
        <v>131860</v>
      </c>
    </row>
    <row r="11" spans="2:7" x14ac:dyDescent="0.45">
      <c r="C11" s="2">
        <v>45275</v>
      </c>
      <c r="D11" s="32" t="s">
        <v>27</v>
      </c>
      <c r="E11" s="14">
        <v>700360</v>
      </c>
    </row>
    <row r="12" spans="2:7" x14ac:dyDescent="0.45">
      <c r="C12" s="2">
        <v>45292</v>
      </c>
      <c r="D12" s="32" t="s">
        <v>28</v>
      </c>
      <c r="E12" s="14">
        <v>572260</v>
      </c>
    </row>
    <row r="13" spans="2:7" x14ac:dyDescent="0.45">
      <c r="C13" s="2">
        <v>45306</v>
      </c>
      <c r="D13" s="32" t="s">
        <v>29</v>
      </c>
      <c r="E13" s="14">
        <v>162690</v>
      </c>
    </row>
    <row r="14" spans="2:7" x14ac:dyDescent="0.45">
      <c r="C14" s="2">
        <v>45323</v>
      </c>
      <c r="D14" s="32" t="s">
        <v>30</v>
      </c>
      <c r="E14" s="14">
        <v>387660</v>
      </c>
    </row>
    <row r="15" spans="2:7" x14ac:dyDescent="0.45">
      <c r="C15" s="2">
        <v>45337</v>
      </c>
      <c r="D15" s="32" t="s">
        <v>31</v>
      </c>
      <c r="E15" s="14">
        <v>747090</v>
      </c>
    </row>
    <row r="16" spans="2:7" x14ac:dyDescent="0.45">
      <c r="C16" s="2">
        <v>45352</v>
      </c>
      <c r="D16" s="32" t="s">
        <v>32</v>
      </c>
      <c r="E16" s="14">
        <v>630840</v>
      </c>
    </row>
    <row r="17" spans="3:5" x14ac:dyDescent="0.45">
      <c r="C17" s="2">
        <v>45366</v>
      </c>
      <c r="D17" s="32" t="s">
        <v>33</v>
      </c>
      <c r="E17" s="14">
        <v>863060</v>
      </c>
    </row>
    <row r="18" spans="3:5" x14ac:dyDescent="0.45">
      <c r="C18" s="2">
        <v>45383</v>
      </c>
      <c r="D18" s="32" t="s">
        <v>34</v>
      </c>
      <c r="E18" s="14">
        <v>934580</v>
      </c>
    </row>
    <row r="19" spans="3:5" x14ac:dyDescent="0.45">
      <c r="C19" s="2">
        <v>45397</v>
      </c>
      <c r="D19" s="32" t="s">
        <v>35</v>
      </c>
      <c r="E19" s="14">
        <v>253760</v>
      </c>
    </row>
    <row r="20" spans="3:5" x14ac:dyDescent="0.45">
      <c r="C20" s="2">
        <v>45413</v>
      </c>
      <c r="D20" s="32" t="s">
        <v>36</v>
      </c>
      <c r="E20" s="14">
        <v>582750</v>
      </c>
    </row>
    <row r="21" spans="3:5" x14ac:dyDescent="0.45">
      <c r="C21" s="2">
        <v>45427</v>
      </c>
      <c r="D21" s="32" t="s">
        <v>37</v>
      </c>
      <c r="E21" s="14">
        <v>209560</v>
      </c>
    </row>
    <row r="22" spans="3:5" x14ac:dyDescent="0.45">
      <c r="C22" s="2">
        <v>45444</v>
      </c>
      <c r="D22" s="32" t="s">
        <v>38</v>
      </c>
      <c r="E22" s="14">
        <v>616150</v>
      </c>
    </row>
    <row r="23" spans="3:5" x14ac:dyDescent="0.45">
      <c r="C23" s="2">
        <v>45458</v>
      </c>
      <c r="D23" s="32" t="s">
        <v>39</v>
      </c>
      <c r="E23" s="14">
        <v>409790</v>
      </c>
    </row>
    <row r="24" spans="3:5" x14ac:dyDescent="0.45">
      <c r="C24" s="2">
        <v>45474</v>
      </c>
      <c r="D24" s="32" t="s">
        <v>40</v>
      </c>
      <c r="E24" s="14">
        <v>956750</v>
      </c>
    </row>
    <row r="25" spans="3:5" x14ac:dyDescent="0.45">
      <c r="C25" s="2">
        <v>45488</v>
      </c>
      <c r="D25" s="32" t="s">
        <v>41</v>
      </c>
      <c r="E25" s="14">
        <v>890000</v>
      </c>
    </row>
    <row r="26" spans="3:5" x14ac:dyDescent="0.45">
      <c r="C26" s="2">
        <v>45505</v>
      </c>
      <c r="D26" s="32" t="s">
        <v>42</v>
      </c>
      <c r="E26" s="14">
        <v>203260</v>
      </c>
    </row>
    <row r="27" spans="3:5" x14ac:dyDescent="0.45">
      <c r="C27" s="2">
        <v>45519</v>
      </c>
      <c r="D27" s="32" t="s">
        <v>43</v>
      </c>
      <c r="E27" s="14">
        <v>977040</v>
      </c>
    </row>
    <row r="28" spans="3:5" x14ac:dyDescent="0.45">
      <c r="C28" s="2">
        <v>45536</v>
      </c>
      <c r="D28" s="32" t="s">
        <v>44</v>
      </c>
      <c r="E28" s="14">
        <v>994870</v>
      </c>
    </row>
    <row r="29" spans="3:5" x14ac:dyDescent="0.45">
      <c r="C29" s="2">
        <v>45550</v>
      </c>
      <c r="D29" s="32" t="s">
        <v>45</v>
      </c>
      <c r="E29" s="14">
        <v>912400</v>
      </c>
    </row>
    <row r="30" spans="3:5" x14ac:dyDescent="0.45">
      <c r="C30" s="2">
        <v>45566</v>
      </c>
      <c r="D30" s="32" t="s">
        <v>46</v>
      </c>
      <c r="E30" s="14">
        <v>339580</v>
      </c>
    </row>
    <row r="31" spans="3:5" x14ac:dyDescent="0.45">
      <c r="C31" s="2">
        <v>45580</v>
      </c>
      <c r="D31" s="32" t="s">
        <v>47</v>
      </c>
      <c r="E31" s="14">
        <v>795460</v>
      </c>
    </row>
    <row r="32" spans="3:5" x14ac:dyDescent="0.45">
      <c r="C32" s="2">
        <v>45550</v>
      </c>
      <c r="D32" s="32" t="s">
        <v>50</v>
      </c>
      <c r="E32" s="14">
        <v>565540</v>
      </c>
    </row>
    <row r="33" spans="3:5" x14ac:dyDescent="0.45">
      <c r="C33" s="2">
        <v>45566</v>
      </c>
      <c r="D33" s="32" t="s">
        <v>51</v>
      </c>
      <c r="E33" s="14">
        <v>507070</v>
      </c>
    </row>
    <row r="34" spans="3:5" x14ac:dyDescent="0.45">
      <c r="C34" s="2">
        <v>45580</v>
      </c>
      <c r="D34" s="32" t="s">
        <v>52</v>
      </c>
      <c r="E34" s="14">
        <v>448600</v>
      </c>
    </row>
    <row r="35" spans="3:5" x14ac:dyDescent="0.45">
      <c r="C35" s="2">
        <v>45550</v>
      </c>
      <c r="D35" s="32" t="s">
        <v>53</v>
      </c>
      <c r="E35" s="14">
        <v>390130</v>
      </c>
    </row>
    <row r="36" spans="3:5" x14ac:dyDescent="0.45">
      <c r="C36" s="2">
        <v>45566</v>
      </c>
      <c r="D36" s="32" t="s">
        <v>54</v>
      </c>
      <c r="E36" s="14">
        <v>331660</v>
      </c>
    </row>
    <row r="37" spans="3:5" x14ac:dyDescent="0.45">
      <c r="C37" s="2">
        <v>45580</v>
      </c>
      <c r="D37" s="32" t="s">
        <v>55</v>
      </c>
      <c r="E37" s="14">
        <v>273190</v>
      </c>
    </row>
    <row r="38" spans="3:5" x14ac:dyDescent="0.45">
      <c r="C38" s="2">
        <v>45550</v>
      </c>
      <c r="D38" s="32" t="s">
        <v>56</v>
      </c>
      <c r="E38" s="14">
        <v>214720</v>
      </c>
    </row>
  </sheetData>
  <phoneticPr fontId="6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05CE-532D-40C4-B03D-4F25299AD8B2}">
  <dimension ref="B2:G23"/>
  <sheetViews>
    <sheetView showGridLines="0" zoomScale="90" zoomScaleNormal="90" workbookViewId="0">
      <selection activeCell="B5" sqref="B5"/>
    </sheetView>
  </sheetViews>
  <sheetFormatPr baseColWidth="10" defaultRowHeight="18.5" x14ac:dyDescent="0.45"/>
  <cols>
    <col min="1" max="1" width="2.5" customWidth="1"/>
    <col min="2" max="3" width="14.5" customWidth="1"/>
    <col min="4" max="4" width="20.640625" customWidth="1"/>
    <col min="5" max="6" width="16.28515625" customWidth="1"/>
    <col min="7" max="7" width="16.85546875" customWidth="1"/>
    <col min="8" max="8" width="11.85546875" customWidth="1"/>
  </cols>
  <sheetData>
    <row r="2" spans="2:7" ht="57.5" customHeight="1" x14ac:dyDescent="0.45">
      <c r="B2" s="12"/>
      <c r="C2" s="12"/>
      <c r="D2" s="12"/>
      <c r="E2" s="12"/>
      <c r="F2" s="12"/>
      <c r="G2" s="12"/>
    </row>
    <row r="5" spans="2:7" x14ac:dyDescent="0.45">
      <c r="B5" s="11" t="s">
        <v>48</v>
      </c>
      <c r="F5" s="1"/>
    </row>
    <row r="6" spans="2:7" ht="30.5" customHeight="1" x14ac:dyDescent="0.45">
      <c r="B6" s="3" t="s">
        <v>18</v>
      </c>
      <c r="C6" s="3" t="s">
        <v>58</v>
      </c>
      <c r="D6" s="3" t="s">
        <v>20</v>
      </c>
      <c r="E6" s="3" t="s">
        <v>21</v>
      </c>
      <c r="F6" s="3" t="str">
        <f>"MONTO RESTANTE DE LA CATEGORÍA "&amp;E7</f>
        <v>MONTO RESTANTE DE LA CATEGORÍA E</v>
      </c>
      <c r="G6" s="3" t="s">
        <v>19</v>
      </c>
    </row>
    <row r="7" spans="2:7" ht="35" customHeight="1" x14ac:dyDescent="0.45">
      <c r="B7" s="17">
        <v>45566</v>
      </c>
      <c r="C7" s="18">
        <f>B7-366</f>
        <v>45200</v>
      </c>
      <c r="D7" s="13">
        <f>IFERROR(SUMIFS(Tabla_Ventas[Monto],Tabla_Ventas[Fecha],"&gt;="&amp;C7,Tabla_Ventas[Fecha],"&lt;="&amp;B7),"-")</f>
        <v>16645640</v>
      </c>
      <c r="E7" s="15" t="str">
        <f>IFERROR(VLOOKUP(D7,$C$13:$E$23,3,1),"-")</f>
        <v>E</v>
      </c>
      <c r="F7" s="13">
        <f>IFERROR(INDEX(D13:D23,MATCH(E7,E13:E23,0))-D7,"-")</f>
        <v>2704360</v>
      </c>
      <c r="G7" s="13">
        <f>IFERROR(D23-D7,"-")</f>
        <v>51354360</v>
      </c>
    </row>
    <row r="10" spans="2:7" ht="24" x14ac:dyDescent="0.45">
      <c r="D10" s="28" t="s">
        <v>49</v>
      </c>
    </row>
    <row r="11" spans="2:7" ht="26" customHeight="1" thickBot="1" x14ac:dyDescent="0.5">
      <c r="C11" s="29" t="s">
        <v>14</v>
      </c>
      <c r="D11" s="29"/>
      <c r="E11" s="29"/>
    </row>
    <row r="12" spans="2:7" ht="28.5" customHeight="1" thickBot="1" x14ac:dyDescent="0.5">
      <c r="C12" s="10" t="s">
        <v>0</v>
      </c>
      <c r="D12" s="10" t="s">
        <v>1</v>
      </c>
      <c r="E12" s="10" t="s">
        <v>2</v>
      </c>
    </row>
    <row r="13" spans="2:7" ht="19" thickBot="1" x14ac:dyDescent="0.5">
      <c r="C13" s="8"/>
      <c r="D13" s="8">
        <v>6450000</v>
      </c>
      <c r="E13" s="9" t="s">
        <v>3</v>
      </c>
    </row>
    <row r="14" spans="2:7" ht="19" thickBot="1" x14ac:dyDescent="0.5">
      <c r="C14" s="5">
        <f>D13</f>
        <v>6450000</v>
      </c>
      <c r="D14" s="5">
        <v>9450000</v>
      </c>
      <c r="E14" s="4" t="s">
        <v>4</v>
      </c>
    </row>
    <row r="15" spans="2:7" ht="19" thickBot="1" x14ac:dyDescent="0.5">
      <c r="C15" s="6">
        <f t="shared" ref="C15:C23" si="0">D14</f>
        <v>9450000</v>
      </c>
      <c r="D15" s="6">
        <v>13250000</v>
      </c>
      <c r="E15" s="7" t="s">
        <v>5</v>
      </c>
    </row>
    <row r="16" spans="2:7" ht="19" thickBot="1" x14ac:dyDescent="0.5">
      <c r="C16" s="5">
        <f t="shared" si="0"/>
        <v>13250000</v>
      </c>
      <c r="D16" s="5">
        <v>16450000</v>
      </c>
      <c r="E16" s="4" t="s">
        <v>6</v>
      </c>
    </row>
    <row r="17" spans="3:5" ht="22" customHeight="1" thickBot="1" x14ac:dyDescent="0.5">
      <c r="C17" s="6">
        <f t="shared" si="0"/>
        <v>16450000</v>
      </c>
      <c r="D17" s="6">
        <v>19350000</v>
      </c>
      <c r="E17" s="7" t="s">
        <v>7</v>
      </c>
    </row>
    <row r="18" spans="3:5" ht="19" thickBot="1" x14ac:dyDescent="0.5">
      <c r="C18" s="5">
        <f t="shared" si="0"/>
        <v>19350000</v>
      </c>
      <c r="D18" s="5">
        <v>24250000</v>
      </c>
      <c r="E18" s="4" t="s">
        <v>8</v>
      </c>
    </row>
    <row r="19" spans="3:5" ht="19" thickBot="1" x14ac:dyDescent="0.5">
      <c r="C19" s="6">
        <f t="shared" si="0"/>
        <v>24250000</v>
      </c>
      <c r="D19" s="6">
        <v>29000000</v>
      </c>
      <c r="E19" s="7" t="s">
        <v>9</v>
      </c>
    </row>
    <row r="20" spans="3:5" ht="19" thickBot="1" x14ac:dyDescent="0.5">
      <c r="C20" s="5">
        <f t="shared" si="0"/>
        <v>29000000</v>
      </c>
      <c r="D20" s="5">
        <v>44000000</v>
      </c>
      <c r="E20" s="4" t="s">
        <v>10</v>
      </c>
    </row>
    <row r="21" spans="3:5" ht="19" thickBot="1" x14ac:dyDescent="0.5">
      <c r="C21" s="6">
        <f t="shared" si="0"/>
        <v>44000000</v>
      </c>
      <c r="D21" s="6">
        <v>49250000</v>
      </c>
      <c r="E21" s="7" t="s">
        <v>11</v>
      </c>
    </row>
    <row r="22" spans="3:5" ht="19" thickBot="1" x14ac:dyDescent="0.5">
      <c r="C22" s="5">
        <f t="shared" si="0"/>
        <v>49250000</v>
      </c>
      <c r="D22" s="5">
        <v>56400000</v>
      </c>
      <c r="E22" s="4" t="s">
        <v>12</v>
      </c>
    </row>
    <row r="23" spans="3:5" ht="19" thickBot="1" x14ac:dyDescent="0.5">
      <c r="C23" s="6">
        <f t="shared" si="0"/>
        <v>56400000</v>
      </c>
      <c r="D23" s="6">
        <v>68000000</v>
      </c>
      <c r="E23" s="7" t="s">
        <v>13</v>
      </c>
    </row>
  </sheetData>
  <mergeCells count="1">
    <mergeCell ref="C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- AYUDA -</vt:lpstr>
      <vt:lpstr>Facturas por venta</vt:lpstr>
      <vt:lpstr>Escala de monotributo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PlanillaExcel</dc:creator>
  <cp:lastModifiedBy>Cecilia PlanillaExcel</cp:lastModifiedBy>
  <dcterms:created xsi:type="dcterms:W3CDTF">2024-09-13T21:16:11Z</dcterms:created>
  <dcterms:modified xsi:type="dcterms:W3CDTF">2024-09-13T22:22:24Z</dcterms:modified>
</cp:coreProperties>
</file>